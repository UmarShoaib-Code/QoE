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alidation" sheetId="2" r:id="rId2"/>
    <sheet name="GL_Clean" sheetId="3" r:id="rId3"/>
    <sheet name="Mapping" sheetId="4" r:id="rId4"/>
    <sheet name="EBITDA" sheetId="5" r:id="rId5"/>
    <sheet name="Pivots_Inputs" sheetId="6" r:id="rId6"/>
  </sheets>
  <calcPr calcId="124519" fullCalcOnLoad="1"/>
</workbook>
</file>

<file path=xl/sharedStrings.xml><?xml version="1.0" encoding="utf-8"?>
<sst xmlns="http://schemas.openxmlformats.org/spreadsheetml/2006/main" count="263" uniqueCount="110">
  <si>
    <t>GL Databook - User Guide</t>
  </si>
  <si>
    <t>Generated: 2026-01-18 01:23:15</t>
  </si>
  <si>
    <t>Entity: sample balanced gl</t>
  </si>
  <si>
    <t>Source Files:</t>
  </si>
  <si>
    <t>- sample_balanced_gl.xlsx</t>
  </si>
  <si>
    <t>TAB DESCRIPTIONS:</t>
  </si>
  <si>
    <t>1. README - This tab. Contains metadata and instructions.</t>
  </si>
  <si>
    <t>2. Validation - Shows validation results including PASS/FAIL status, debit/credit totals, and row counts removed during processing.</t>
  </si>
  <si>
    <t>3. GL_Clean - Clean transaction table with all normalized GL entries. Formatted as Excel Table with filters enabled.</t>
  </si>
  <si>
    <t>4. Mapping - Unique account list with mapping columns for categorization. Use this tab to map accounts to standard categories.</t>
  </si>
  <si>
    <t>5. EBITDA - Financial calculations including Net Income, EBITDA, and Adjusted EBITDA. Formulas are used for calculations.</t>
  </si>
  <si>
    <t>6. Pivots_Inputs - Pivot-ready table for creating custom pivot tables and analysis.</t>
  </si>
  <si>
    <t>USAGE NOTES:</t>
  </si>
  <si>
    <t>- All tabs have frozen top rows and filters enabled where applicable.</t>
  </si>
  <si>
    <t>- Use Excel Tables (GL_Clean, Mapping) for easy sorting and filtering.</t>
  </si>
  <si>
    <t>- EBITDA calculations use formulas - recalculate if data changes.</t>
  </si>
  <si>
    <t>- For better performance with large files, formulas can be broken (converted to values) using the break_formulas option.</t>
  </si>
  <si>
    <t>Validation Results</t>
  </si>
  <si>
    <t>Summary</t>
  </si>
  <si>
    <t>Field</t>
  </si>
  <si>
    <t>Value</t>
  </si>
  <si>
    <t>Validation Status</t>
  </si>
  <si>
    <t>PASS</t>
  </si>
  <si>
    <t>Generated Timestamp</t>
  </si>
  <si>
    <t>2026-01-18 01:23:15</t>
  </si>
  <si>
    <t>Source File(s)</t>
  </si>
  <si>
    <t>sample_balanced_gl.xlsx</t>
  </si>
  <si>
    <t>Entity Name(s)</t>
  </si>
  <si>
    <t>sample balanced gl</t>
  </si>
  <si>
    <t>Transaction Count</t>
  </si>
  <si>
    <t>Date Range</t>
  </si>
  <si>
    <t>2024-01-15 to 2024-01-20</t>
  </si>
  <si>
    <t>Total Debits</t>
  </si>
  <si>
    <t>Total Credits</t>
  </si>
  <si>
    <t>Debit/Credit Difference</t>
  </si>
  <si>
    <t>Key Metrics</t>
  </si>
  <si>
    <t>Metric</t>
  </si>
  <si>
    <t>Total Transactions</t>
  </si>
  <si>
    <t>Date Parse Failure Rate</t>
  </si>
  <si>
    <t>Processing Report</t>
  </si>
  <si>
    <t>Item</t>
  </si>
  <si>
    <t>Count</t>
  </si>
  <si>
    <t>Total Rows Read</t>
  </si>
  <si>
    <t>Rows with Invalid Dates</t>
  </si>
  <si>
    <t>Rows Removed (Totals)</t>
  </si>
  <si>
    <t>Rows Removed (Subtotals)</t>
  </si>
  <si>
    <t>Rows Removed (Opening Balance)</t>
  </si>
  <si>
    <t>Final Transaction Rows</t>
  </si>
  <si>
    <t>entity</t>
  </si>
  <si>
    <t>source_system</t>
  </si>
  <si>
    <t>gl_source_file</t>
  </si>
  <si>
    <t>row_id</t>
  </si>
  <si>
    <t>date</t>
  </si>
  <si>
    <t>account_name_raw</t>
  </si>
  <si>
    <t>account_name_flat</t>
  </si>
  <si>
    <t>description</t>
  </si>
  <si>
    <t>debit</t>
  </si>
  <si>
    <t>credit</t>
  </si>
  <si>
    <t>amount_net</t>
  </si>
  <si>
    <t>main_category</t>
  </si>
  <si>
    <t>sub1</t>
  </si>
  <si>
    <t>sub2</t>
  </si>
  <si>
    <t>client_specific</t>
  </si>
  <si>
    <t>notes</t>
  </si>
  <si>
    <t>QuickBooks Online</t>
  </si>
  <si>
    <t>tmpxexoboxw.xlsx</t>
  </si>
  <si>
    <t>Cash</t>
  </si>
  <si>
    <t>Initial Deposit</t>
  </si>
  <si>
    <t>Balance Sheet</t>
  </si>
  <si>
    <t>Accounts Receivable</t>
  </si>
  <si>
    <t>Invoice Payment</t>
  </si>
  <si>
    <t>Sales</t>
  </si>
  <si>
    <t>Product Sales</t>
  </si>
  <si>
    <t>Revenue</t>
  </si>
  <si>
    <t>Rent Expense</t>
  </si>
  <si>
    <t>Office Rent</t>
  </si>
  <si>
    <t>OpEx</t>
  </si>
  <si>
    <t>Customer Payment</t>
  </si>
  <si>
    <t>Accounts Payable</t>
  </si>
  <si>
    <t>Vendor Invoice</t>
  </si>
  <si>
    <t>Account Name (Flat)</t>
  </si>
  <si>
    <t>Entity</t>
  </si>
  <si>
    <t>Account Name (Raw)</t>
  </si>
  <si>
    <t>Main Category</t>
  </si>
  <si>
    <t>Sub1</t>
  </si>
  <si>
    <t>Sub2</t>
  </si>
  <si>
    <t>Client Specific</t>
  </si>
  <si>
    <t>Notes</t>
  </si>
  <si>
    <t>EBITDA Calculations</t>
  </si>
  <si>
    <t>Amount</t>
  </si>
  <si>
    <t>Cost of Goods Sold</t>
  </si>
  <si>
    <t>Gross Profit</t>
  </si>
  <si>
    <t>Operating Expenses</t>
  </si>
  <si>
    <t>EBITDA</t>
  </si>
  <si>
    <t>Interest Expense</t>
  </si>
  <si>
    <t>Taxes</t>
  </si>
  <si>
    <t>Depreciation &amp; Amortization</t>
  </si>
  <si>
    <t>Net Income</t>
  </si>
  <si>
    <t>Adjusted EBITDA</t>
  </si>
  <si>
    <t>Year</t>
  </si>
  <si>
    <t>Month</t>
  </si>
  <si>
    <t>Month_Name</t>
  </si>
  <si>
    <t>Quarter</t>
  </si>
  <si>
    <t>0</t>
  </si>
  <si>
    <t>January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</si>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</sst>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0%"/>
    <numFmt numFmtId="167" formatCode="mm/dd/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7" totalsRowShown="0">
  <autoFilter ref="A1:P7"/>
  <tableColumns count="16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6" totalsRowShown="0">
  <autoFilter ref="A1:H6"/>
  <tableColumns count="8">
    <tableColumn id="1" name="Account Name (Flat)"/>
    <tableColumn id="2" name="Entity"/>
    <tableColumn id="3" name="Account Name (Raw)"/>
    <tableColumn id="4" name="Main Category"/>
    <tableColumn id="5" name="Sub1"/>
    <tableColumn id="6" name="Sub2"/>
    <tableColumn id="7" name="Client Specific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T7" totalsRowShown="0">
  <autoFilter ref="A1:T7"/>
  <tableColumns count="20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  <tableColumn id="17" name="Year"/>
    <tableColumn id="18" name="Month"/>
    <tableColumn id="19" name="Month_Name"/>
    <tableColumn id="20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B6" t="s">
        <v>4</v>
      </c>
    </row>
    <row r="8" spans="1:2">
      <c r="A8" t="s">
        <v>5</v>
      </c>
    </row>
    <row r="10" spans="1:2">
      <c r="A10" t="s">
        <v>6</v>
      </c>
    </row>
    <row r="12" spans="1:2">
      <c r="A12" t="s">
        <v>7</v>
      </c>
    </row>
    <row r="14" spans="1:2">
      <c r="A14" t="s">
        <v>8</v>
      </c>
    </row>
    <row r="16" spans="1:2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15</v>
      </c>
    </row>
    <row r="27" spans="1:1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</v>
      </c>
    </row>
    <row r="3" spans="1:2">
      <c r="A3" s="1" t="s">
        <v>18</v>
      </c>
    </row>
    <row r="4" spans="1:2">
      <c r="A4" s="2" t="s">
        <v>19</v>
      </c>
      <c r="B4" s="2" t="s">
        <v>20</v>
      </c>
    </row>
    <row r="5" spans="1:2">
      <c r="A5" s="3" t="s">
        <v>21</v>
      </c>
      <c r="B5" s="4" t="s">
        <v>22</v>
      </c>
    </row>
    <row r="6" spans="1:2">
      <c r="A6" s="3" t="s">
        <v>23</v>
      </c>
      <c r="B6" s="3" t="s">
        <v>24</v>
      </c>
    </row>
    <row r="7" spans="1:2">
      <c r="A7" s="3" t="s">
        <v>25</v>
      </c>
      <c r="B7" s="3" t="s">
        <v>26</v>
      </c>
    </row>
    <row r="8" spans="1:2">
      <c r="A8" s="3" t="s">
        <v>27</v>
      </c>
      <c r="B8" s="3" t="s">
        <v>28</v>
      </c>
    </row>
    <row r="9" spans="1:2">
      <c r="A9" s="3" t="s">
        <v>29</v>
      </c>
      <c r="B9" s="5">
        <v>6</v>
      </c>
    </row>
    <row r="10" spans="1:2">
      <c r="A10" s="3" t="s">
        <v>30</v>
      </c>
      <c r="B10" s="3" t="s">
        <v>31</v>
      </c>
    </row>
    <row r="11" spans="1:2">
      <c r="A11" s="3" t="s">
        <v>32</v>
      </c>
      <c r="B11" s="6">
        <v>20000</v>
      </c>
    </row>
    <row r="12" spans="1:2">
      <c r="A12" s="3" t="s">
        <v>33</v>
      </c>
      <c r="B12" s="6">
        <v>20000</v>
      </c>
    </row>
    <row r="13" spans="1:2">
      <c r="A13" s="3" t="s">
        <v>34</v>
      </c>
      <c r="B13" s="6">
        <v>0</v>
      </c>
    </row>
    <row r="16" spans="1:2">
      <c r="A16" s="1" t="s">
        <v>35</v>
      </c>
    </row>
    <row r="17" spans="1:2">
      <c r="A17" s="2" t="s">
        <v>36</v>
      </c>
      <c r="B17" s="2" t="s">
        <v>20</v>
      </c>
    </row>
    <row r="18" spans="1:2">
      <c r="A18" s="3" t="s">
        <v>37</v>
      </c>
      <c r="B18" s="3">
        <v>6</v>
      </c>
    </row>
    <row r="19" spans="1:2">
      <c r="A19" s="3" t="s">
        <v>32</v>
      </c>
      <c r="B19" s="6">
        <v>20000</v>
      </c>
    </row>
    <row r="20" spans="1:2">
      <c r="A20" s="3" t="s">
        <v>33</v>
      </c>
      <c r="B20" s="6">
        <v>20000</v>
      </c>
    </row>
    <row r="21" spans="1:2">
      <c r="A21" s="3" t="s">
        <v>34</v>
      </c>
      <c r="B21" s="6">
        <v>0</v>
      </c>
    </row>
    <row r="22" spans="1:2">
      <c r="A22" s="3" t="s">
        <v>38</v>
      </c>
      <c r="B22" s="7">
        <v>0</v>
      </c>
    </row>
    <row r="24" spans="1:2">
      <c r="A24" s="1" t="s">
        <v>39</v>
      </c>
    </row>
    <row r="25" spans="1:2">
      <c r="A25" s="2" t="s">
        <v>40</v>
      </c>
      <c r="B25" s="2" t="s">
        <v>41</v>
      </c>
    </row>
    <row r="26" spans="1:2">
      <c r="A26" s="3" t="s">
        <v>42</v>
      </c>
      <c r="B26" s="5">
        <v>7</v>
      </c>
    </row>
    <row r="27" spans="1:2">
      <c r="A27" s="3" t="s">
        <v>43</v>
      </c>
      <c r="B27" s="5">
        <v>0</v>
      </c>
    </row>
    <row r="28" spans="1:2">
      <c r="A28" s="3" t="s">
        <v>44</v>
      </c>
      <c r="B28" s="5">
        <v>0</v>
      </c>
    </row>
    <row r="29" spans="1:2">
      <c r="A29" s="3" t="s">
        <v>45</v>
      </c>
      <c r="B29" s="5">
        <v>0</v>
      </c>
    </row>
    <row r="30" spans="1:2">
      <c r="A30" s="3" t="s">
        <v>46</v>
      </c>
      <c r="B30" s="5">
        <v>0</v>
      </c>
    </row>
    <row r="31" spans="1:2">
      <c r="A31" s="3" t="s">
        <v>47</v>
      </c>
      <c r="B31" s="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5.7109375" customWidth="1"/>
  </cols>
  <sheetData>
    <row r="1" spans="1:16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 spans="1:16">
      <c r="A2" s="3" t="s">
        <v>28</v>
      </c>
      <c r="B2" s="3" t="s">
        <v>64</v>
      </c>
      <c r="C2" s="3" t="s">
        <v>65</v>
      </c>
      <c r="D2" s="5">
        <v>0</v>
      </c>
      <c r="E2" s="8">
        <v>45306</v>
      </c>
      <c r="F2" s="3" t="s">
        <v>66</v>
      </c>
      <c r="G2" s="3" t="s">
        <v>66</v>
      </c>
      <c r="H2" s="3" t="s">
        <v>67</v>
      </c>
      <c r="I2" s="6">
        <v>10000</v>
      </c>
      <c r="J2" s="6">
        <v>0</v>
      </c>
      <c r="K2" s="6">
        <v>10000</v>
      </c>
      <c r="L2" s="3" t="s">
        <v>68</v>
      </c>
      <c r="M2" s="3"/>
      <c r="N2" s="3"/>
      <c r="O2" s="3"/>
      <c r="P2" s="3"/>
    </row>
    <row r="3" spans="1:16">
      <c r="A3" s="9" t="s">
        <v>28</v>
      </c>
      <c r="B3" s="9" t="s">
        <v>64</v>
      </c>
      <c r="C3" s="9" t="s">
        <v>65</v>
      </c>
      <c r="D3" s="5">
        <v>1</v>
      </c>
      <c r="E3" s="8">
        <v>45307</v>
      </c>
      <c r="F3" s="9" t="s">
        <v>69</v>
      </c>
      <c r="G3" s="9" t="s">
        <v>69</v>
      </c>
      <c r="H3" s="9" t="s">
        <v>70</v>
      </c>
      <c r="I3" s="6">
        <v>5000</v>
      </c>
      <c r="J3" s="6">
        <v>0</v>
      </c>
      <c r="K3" s="6">
        <v>5000</v>
      </c>
      <c r="L3" s="9"/>
      <c r="M3" s="9"/>
      <c r="N3" s="9"/>
      <c r="O3" s="9"/>
      <c r="P3" s="9"/>
    </row>
    <row r="4" spans="1:16">
      <c r="A4" s="3" t="s">
        <v>28</v>
      </c>
      <c r="B4" s="3" t="s">
        <v>64</v>
      </c>
      <c r="C4" s="3" t="s">
        <v>65</v>
      </c>
      <c r="D4" s="5">
        <v>2</v>
      </c>
      <c r="E4" s="8">
        <v>45308</v>
      </c>
      <c r="F4" s="3" t="s">
        <v>71</v>
      </c>
      <c r="G4" s="3" t="s">
        <v>71</v>
      </c>
      <c r="H4" s="3" t="s">
        <v>72</v>
      </c>
      <c r="I4" s="6">
        <v>0</v>
      </c>
      <c r="J4" s="6">
        <v>15000</v>
      </c>
      <c r="K4" s="6">
        <v>-15000</v>
      </c>
      <c r="L4" s="3" t="s">
        <v>73</v>
      </c>
      <c r="M4" s="3"/>
      <c r="N4" s="3"/>
      <c r="O4" s="3"/>
      <c r="P4" s="3"/>
    </row>
    <row r="5" spans="1:16">
      <c r="A5" s="9" t="s">
        <v>28</v>
      </c>
      <c r="B5" s="9" t="s">
        <v>64</v>
      </c>
      <c r="C5" s="9" t="s">
        <v>65</v>
      </c>
      <c r="D5" s="5">
        <v>3</v>
      </c>
      <c r="E5" s="8">
        <v>45309</v>
      </c>
      <c r="F5" s="9" t="s">
        <v>74</v>
      </c>
      <c r="G5" s="9" t="s">
        <v>74</v>
      </c>
      <c r="H5" s="9" t="s">
        <v>75</v>
      </c>
      <c r="I5" s="6">
        <v>2000</v>
      </c>
      <c r="J5" s="6">
        <v>0</v>
      </c>
      <c r="K5" s="6">
        <v>2000</v>
      </c>
      <c r="L5" s="9" t="s">
        <v>76</v>
      </c>
      <c r="M5" s="9"/>
      <c r="N5" s="9"/>
      <c r="O5" s="9"/>
      <c r="P5" s="9"/>
    </row>
    <row r="6" spans="1:16">
      <c r="A6" s="3" t="s">
        <v>28</v>
      </c>
      <c r="B6" s="3" t="s">
        <v>64</v>
      </c>
      <c r="C6" s="3" t="s">
        <v>65</v>
      </c>
      <c r="D6" s="5">
        <v>4</v>
      </c>
      <c r="E6" s="8">
        <v>45310</v>
      </c>
      <c r="F6" s="3" t="s">
        <v>66</v>
      </c>
      <c r="G6" s="3" t="s">
        <v>66</v>
      </c>
      <c r="H6" s="3" t="s">
        <v>77</v>
      </c>
      <c r="I6" s="6">
        <v>3000</v>
      </c>
      <c r="J6" s="6">
        <v>0</v>
      </c>
      <c r="K6" s="6">
        <v>3000</v>
      </c>
      <c r="L6" s="3" t="s">
        <v>68</v>
      </c>
      <c r="M6" s="3"/>
      <c r="N6" s="3"/>
      <c r="O6" s="3"/>
      <c r="P6" s="3"/>
    </row>
    <row r="7" spans="1:16">
      <c r="A7" s="9" t="s">
        <v>28</v>
      </c>
      <c r="B7" s="9" t="s">
        <v>64</v>
      </c>
      <c r="C7" s="9" t="s">
        <v>65</v>
      </c>
      <c r="D7" s="5">
        <v>5</v>
      </c>
      <c r="E7" s="8">
        <v>45311</v>
      </c>
      <c r="F7" s="9" t="s">
        <v>78</v>
      </c>
      <c r="G7" s="9" t="s">
        <v>78</v>
      </c>
      <c r="H7" s="9" t="s">
        <v>79</v>
      </c>
      <c r="I7" s="6">
        <v>0</v>
      </c>
      <c r="J7" s="6">
        <v>5000</v>
      </c>
      <c r="K7" s="6">
        <v>-5000</v>
      </c>
      <c r="L7" s="9"/>
      <c r="M7" s="9"/>
      <c r="N7" s="9"/>
      <c r="O7" s="9"/>
      <c r="P7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40.7109375" customWidth="1"/>
    <col min="4" max="6" width="20.7109375" customWidth="1"/>
    <col min="7" max="7" width="25.7109375" customWidth="1"/>
    <col min="8" max="8" width="30.7109375" customWidth="1"/>
  </cols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s="3" t="s">
        <v>78</v>
      </c>
      <c r="B2" s="3" t="s">
        <v>28</v>
      </c>
      <c r="C2" s="3" t="s">
        <v>78</v>
      </c>
      <c r="D2" s="3"/>
      <c r="E2" s="3"/>
      <c r="F2" s="3"/>
      <c r="G2" s="3"/>
      <c r="H2" s="3"/>
    </row>
    <row r="3" spans="1:8">
      <c r="A3" s="9" t="s">
        <v>69</v>
      </c>
      <c r="B3" s="9" t="s">
        <v>28</v>
      </c>
      <c r="C3" s="9" t="s">
        <v>69</v>
      </c>
      <c r="D3" s="9"/>
      <c r="E3" s="9"/>
      <c r="F3" s="9"/>
      <c r="G3" s="9"/>
      <c r="H3" s="9"/>
    </row>
    <row r="4" spans="1:8">
      <c r="A4" s="3" t="s">
        <v>66</v>
      </c>
      <c r="B4" s="3" t="s">
        <v>28</v>
      </c>
      <c r="C4" s="3" t="s">
        <v>66</v>
      </c>
      <c r="D4" s="3" t="s">
        <v>68</v>
      </c>
      <c r="E4" s="3"/>
      <c r="F4" s="3"/>
      <c r="G4" s="3"/>
      <c r="H4" s="3"/>
    </row>
    <row r="5" spans="1:8">
      <c r="A5" s="9" t="s">
        <v>74</v>
      </c>
      <c r="B5" s="9" t="s">
        <v>28</v>
      </c>
      <c r="C5" s="9" t="s">
        <v>74</v>
      </c>
      <c r="D5" s="9" t="s">
        <v>76</v>
      </c>
      <c r="E5" s="9"/>
      <c r="F5" s="9"/>
      <c r="G5" s="9"/>
      <c r="H5" s="9"/>
    </row>
    <row r="6" spans="1:8">
      <c r="A6" s="3" t="s">
        <v>71</v>
      </c>
      <c r="B6" s="3" t="s">
        <v>28</v>
      </c>
      <c r="C6" s="3" t="s">
        <v>71</v>
      </c>
      <c r="D6" s="3" t="s">
        <v>73</v>
      </c>
      <c r="E6" s="3"/>
      <c r="F6" s="3"/>
      <c r="G6" s="3"/>
      <c r="H6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88</v>
      </c>
    </row>
    <row r="3" spans="1:2">
      <c r="A3" s="2" t="s">
        <v>40</v>
      </c>
      <c r="B3" s="2" t="s">
        <v>89</v>
      </c>
    </row>
    <row r="4" spans="1:2">
      <c r="A4" s="3" t="s">
        <v>73</v>
      </c>
      <c r="B4" s="6">
        <f>SUMIFS(GL_Clean!J:J,GL_Clean!L:L,"Revenue")-SUMIFS(GL_Clean!I:I,GL_Clean!L:L,"Revenue")</f>
        <v>0</v>
      </c>
    </row>
    <row r="5" spans="1:2">
      <c r="A5" s="3" t="s">
        <v>90</v>
      </c>
      <c r="B5" s="6">
        <f>SUMIFS(GL_Clean!I:I,GL_Clean!L:L,"COGS")-SUMIFS(GL_Clean!J:J,GL_Clean!L:L,"COGS")</f>
        <v>0</v>
      </c>
    </row>
    <row r="6" spans="1:2">
      <c r="A6" s="3" t="s">
        <v>91</v>
      </c>
      <c r="B6" s="6">
        <f>B4-B5</f>
        <v>0</v>
      </c>
    </row>
    <row r="7" spans="1:2">
      <c r="A7" s="3" t="s">
        <v>92</v>
      </c>
      <c r="B7" s="6">
        <f>SUMIFS(GL_Clean!I:I,GL_Clean!L:L,"OpEx")-SUMIFS(GL_Clean!J:J,GL_Clean!L:L,"OpEx")</f>
        <v>0</v>
      </c>
    </row>
    <row r="8" spans="1:2">
      <c r="A8" s="3" t="s">
        <v>93</v>
      </c>
      <c r="B8" s="6">
        <f>B6-B7</f>
        <v>0</v>
      </c>
    </row>
    <row r="9" spans="1:2">
      <c r="A9" s="3" t="s">
        <v>94</v>
      </c>
      <c r="B9" s="6">
        <f>SUMIFS(GL_Clean!I:I,GL_Clean!L:L,"Interest")-SUMIFS(GL_Clean!J:J,GL_Clean!L:L,"Interest")</f>
        <v>0</v>
      </c>
    </row>
    <row r="10" spans="1:2">
      <c r="A10" s="3" t="s">
        <v>95</v>
      </c>
      <c r="B10" s="6">
        <f>SUMIFS(GL_Clean!I:I,GL_Clean!L:L,"Taxes")-SUMIFS(GL_Clean!J:J,GL_Clean!L:L,"Taxes")</f>
        <v>0</v>
      </c>
    </row>
    <row r="11" spans="1:2">
      <c r="A11" s="3" t="s">
        <v>96</v>
      </c>
      <c r="B11" s="6">
        <f>SUMIFS(GL_Clean!I:I,GL_Clean!L:L,"D&amp;A")-SUMIFS(GL_Clean!J:J,GL_Clean!L:L,"D&amp;A")</f>
        <v>0</v>
      </c>
    </row>
    <row r="12" spans="1:2">
      <c r="A12" s="3" t="s">
        <v>97</v>
      </c>
      <c r="B12" s="6">
        <f>B4-B5-B7-B9-B10</f>
        <v>0</v>
      </c>
    </row>
    <row r="13" spans="1:2">
      <c r="A13" s="3" t="s">
        <v>98</v>
      </c>
      <c r="B13" s="6">
        <f>B8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15.7109375" customWidth="1"/>
  </cols>
  <sheetData>
    <row r="1" spans="1:2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99</v>
      </c>
      <c r="R1" t="s">
        <v>100</v>
      </c>
      <c r="S1" t="s">
        <v>101</v>
      </c>
      <c r="T1" t="s">
        <v>102</v>
      </c>
    </row>
    <row r="2" spans="1:20">
      <c r="A2" s="3" t="s">
        <v>28</v>
      </c>
      <c r="B2" s="3" t="s">
        <v>64</v>
      </c>
      <c r="C2" s="3" t="s">
        <v>65</v>
      </c>
      <c r="D2" s="3" t="s">
        <v>103</v>
      </c>
      <c r="E2" s="8">
        <v>45306</v>
      </c>
      <c r="F2" s="3" t="s">
        <v>66</v>
      </c>
      <c r="G2" s="3" t="s">
        <v>66</v>
      </c>
      <c r="H2" s="3" t="s">
        <v>67</v>
      </c>
      <c r="I2" s="6">
        <v>10000</v>
      </c>
      <c r="J2" s="6">
        <v>0</v>
      </c>
      <c r="K2" s="6">
        <v>10000</v>
      </c>
      <c r="L2" s="3" t="s">
        <v>68</v>
      </c>
      <c r="M2" s="3"/>
      <c r="N2" s="3"/>
      <c r="O2" s="3"/>
      <c r="P2" s="3"/>
      <c r="Q2" s="5">
        <v>2024</v>
      </c>
      <c r="R2" s="5">
        <v>1</v>
      </c>
      <c r="S2" s="3" t="s">
        <v>104</v>
      </c>
      <c r="T2" s="5">
        <v>1</v>
      </c>
    </row>
    <row r="3" spans="1:20">
      <c r="A3" s="9" t="s">
        <v>28</v>
      </c>
      <c r="B3" s="9" t="s">
        <v>64</v>
      </c>
      <c r="C3" s="9" t="s">
        <v>65</v>
      </c>
      <c r="D3" s="9" t="s">
        <v>105</v>
      </c>
      <c r="E3" s="8">
        <v>45307</v>
      </c>
      <c r="F3" s="9" t="s">
        <v>69</v>
      </c>
      <c r="G3" s="9" t="s">
        <v>69</v>
      </c>
      <c r="H3" s="9" t="s">
        <v>70</v>
      </c>
      <c r="I3" s="6">
        <v>5000</v>
      </c>
      <c r="J3" s="6">
        <v>0</v>
      </c>
      <c r="K3" s="6">
        <v>5000</v>
      </c>
      <c r="L3" s="9"/>
      <c r="M3" s="9"/>
      <c r="N3" s="9"/>
      <c r="O3" s="9"/>
      <c r="P3" s="9"/>
      <c r="Q3" s="5">
        <v>2024</v>
      </c>
      <c r="R3" s="5">
        <v>1</v>
      </c>
      <c r="S3" s="9" t="s">
        <v>104</v>
      </c>
      <c r="T3" s="5">
        <v>1</v>
      </c>
    </row>
    <row r="4" spans="1:20">
      <c r="A4" s="3" t="s">
        <v>28</v>
      </c>
      <c r="B4" s="3" t="s">
        <v>64</v>
      </c>
      <c r="C4" s="3" t="s">
        <v>65</v>
      </c>
      <c r="D4" s="3" t="s">
        <v>106</v>
      </c>
      <c r="E4" s="8">
        <v>45308</v>
      </c>
      <c r="F4" s="3" t="s">
        <v>71</v>
      </c>
      <c r="G4" s="3" t="s">
        <v>71</v>
      </c>
      <c r="H4" s="3" t="s">
        <v>72</v>
      </c>
      <c r="I4" s="6">
        <v>0</v>
      </c>
      <c r="J4" s="6">
        <v>15000</v>
      </c>
      <c r="K4" s="6">
        <v>-15000</v>
      </c>
      <c r="L4" s="3" t="s">
        <v>73</v>
      </c>
      <c r="M4" s="3"/>
      <c r="N4" s="3"/>
      <c r="O4" s="3"/>
      <c r="P4" s="3"/>
      <c r="Q4" s="5">
        <v>2024</v>
      </c>
      <c r="R4" s="5">
        <v>1</v>
      </c>
      <c r="S4" s="3" t="s">
        <v>104</v>
      </c>
      <c r="T4" s="5">
        <v>1</v>
      </c>
    </row>
    <row r="5" spans="1:20">
      <c r="A5" s="9" t="s">
        <v>28</v>
      </c>
      <c r="B5" s="9" t="s">
        <v>64</v>
      </c>
      <c r="C5" s="9" t="s">
        <v>65</v>
      </c>
      <c r="D5" s="9" t="s">
        <v>107</v>
      </c>
      <c r="E5" s="8">
        <v>45309</v>
      </c>
      <c r="F5" s="9" t="s">
        <v>74</v>
      </c>
      <c r="G5" s="9" t="s">
        <v>74</v>
      </c>
      <c r="H5" s="9" t="s">
        <v>75</v>
      </c>
      <c r="I5" s="6">
        <v>2000</v>
      </c>
      <c r="J5" s="6">
        <v>0</v>
      </c>
      <c r="K5" s="6">
        <v>2000</v>
      </c>
      <c r="L5" s="9" t="s">
        <v>76</v>
      </c>
      <c r="M5" s="9"/>
      <c r="N5" s="9"/>
      <c r="O5" s="9"/>
      <c r="P5" s="9"/>
      <c r="Q5" s="5">
        <v>2024</v>
      </c>
      <c r="R5" s="5">
        <v>1</v>
      </c>
      <c r="S5" s="9" t="s">
        <v>104</v>
      </c>
      <c r="T5" s="5">
        <v>1</v>
      </c>
    </row>
    <row r="6" spans="1:20">
      <c r="A6" s="3" t="s">
        <v>28</v>
      </c>
      <c r="B6" s="3" t="s">
        <v>64</v>
      </c>
      <c r="C6" s="3" t="s">
        <v>65</v>
      </c>
      <c r="D6" s="3" t="s">
        <v>108</v>
      </c>
      <c r="E6" s="8">
        <v>45310</v>
      </c>
      <c r="F6" s="3" t="s">
        <v>66</v>
      </c>
      <c r="G6" s="3" t="s">
        <v>66</v>
      </c>
      <c r="H6" s="3" t="s">
        <v>77</v>
      </c>
      <c r="I6" s="6">
        <v>3000</v>
      </c>
      <c r="J6" s="6">
        <v>0</v>
      </c>
      <c r="K6" s="6">
        <v>3000</v>
      </c>
      <c r="L6" s="3" t="s">
        <v>68</v>
      </c>
      <c r="M6" s="3"/>
      <c r="N6" s="3"/>
      <c r="O6" s="3"/>
      <c r="P6" s="3"/>
      <c r="Q6" s="5">
        <v>2024</v>
      </c>
      <c r="R6" s="5">
        <v>1</v>
      </c>
      <c r="S6" s="3" t="s">
        <v>104</v>
      </c>
      <c r="T6" s="5">
        <v>1</v>
      </c>
    </row>
    <row r="7" spans="1:20">
      <c r="A7" s="9" t="s">
        <v>28</v>
      </c>
      <c r="B7" s="9" t="s">
        <v>64</v>
      </c>
      <c r="C7" s="9" t="s">
        <v>65</v>
      </c>
      <c r="D7" s="9" t="s">
        <v>109</v>
      </c>
      <c r="E7" s="8">
        <v>45311</v>
      </c>
      <c r="F7" s="9" t="s">
        <v>78</v>
      </c>
      <c r="G7" s="9" t="s">
        <v>78</v>
      </c>
      <c r="H7" s="9" t="s">
        <v>79</v>
      </c>
      <c r="I7" s="6">
        <v>0</v>
      </c>
      <c r="J7" s="6">
        <v>5000</v>
      </c>
      <c r="K7" s="6">
        <v>-5000</v>
      </c>
      <c r="L7" s="9"/>
      <c r="M7" s="9"/>
      <c r="N7" s="9"/>
      <c r="O7" s="9"/>
      <c r="P7" s="9"/>
      <c r="Q7" s="5">
        <v>2024</v>
      </c>
      <c r="R7" s="5">
        <v>1</v>
      </c>
      <c r="S7" s="9" t="s">
        <v>104</v>
      </c>
      <c r="T7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Validation</vt:lpstr>
      <vt:lpstr>GL_Clean</vt:lpstr>
      <vt:lpstr>Mapping</vt:lpstr>
      <vt:lpstr>EBITDA</vt:lpstr>
      <vt:lpstr>Pivots_Inputs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2026-01-17T20:23:15Z</dcterms:created>
  <dcterms:modified xsi:type="dcterms:W3CDTF">2026-01-17T20:23:15Z</dcterms:modified>
</cp:coreProperties>
</file>