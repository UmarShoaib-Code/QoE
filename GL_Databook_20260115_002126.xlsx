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<sst xmlns="http://schemas.openxmlformats.org/spreadsheetml/2006/main" count="263" uniqueCount="110">
  <si>
    <t>GL Databook - User Guide</t>
  </si>
  <si>
    <t>Generated: 2026-01-15 00:21:26</t>
  </si>
  <si>
    <t>Entity: Sample Data</t>
  </si>
  <si>
    <t>Source Files:</t>
  </si>
  <si>
    <t>- sample_balanced_gl.xlsx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</si>
  <si>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</si>
  <si>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</si>
  <si>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</si>
  <si>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</si>
  <si>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</si>
  <si>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</si>
  <si>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</si>
  <si>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</si>
  <si>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</si>
  <si>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</si>
  <si>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</si>
  <si>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</si>
  <si>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</si>
  <si>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</si>
  <si>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</si>
  <si>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</si>
  <si>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</si>
  <si>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</si>
  <si>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</si>
  <si>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2026-01-15 00:21:26</t>
  </si>
  <si>
    <t>Source File(s)</t>
  </si>
  <si>
    <t>sample_balanced_gl.xlsx</t>
  </si>
  <si>
    <t>Entity Name(s)</t>
  </si>
  <si>
    <t>Sample Data</t>
  </si>
  <si>
    <t>Transaction Count</t>
  </si>
  <si>
    <t>Date Range</t>
  </si>
  <si>
    <t>2024-01-15 to 2024-01-20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</si>
  <si>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</si>
  <si>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</si>
  <si>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</si>
  <si>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</si>
  <si>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</si>
  <si>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</si>
  <si>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</si>
  <si>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</si>
  <si>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</si>
  <si>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</si>
  <si>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</si>
  <si>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</si>
  <si>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</si>
  <si>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</si>
  <si>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</si>
  <si>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</si>
  <si>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</si>
  <si>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</si>
  <si>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</si>
  <si>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</si>
  <si>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</si>
  <si>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</si>
  <si>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</si>
  <si>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</si>
  <si>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</si>
  <si>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</si>
  <si>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</si>
  <si>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</si>
  <si>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</si>
  <si>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</si>
  <si>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</si>
  <si>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</si>
  <si>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Desktop</t>
  </si>
  <si>
    <t>tmpswxev7jd.xlsx</t>
  </si>
  <si>
    <t>Cash</t>
  </si>
  <si>
    <t>Initial Deposit</t>
  </si>
  <si>
    <t>Balance Sheet</t>
  </si>
  <si>
    <t>Accounts Receivable</t>
  </si>
  <si>
    <t>Invoice Payment</t>
  </si>
  <si>
    <t>Sales</t>
  </si>
  <si>
    <t>Product Sales</t>
  </si>
  <si>
    <t>Revenue</t>
  </si>
  <si>
    <t>Rent Expense</t>
  </si>
  <si>
    <t>Office Rent</t>
  </si>
  <si>
    <t>OpEx</t>
  </si>
  <si>
    <t>Customer Payment</t>
  </si>
  <si>
    <t>Accounts Payable</t>
  </si>
  <si>
    <t>Vendor Invoice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</si>
  <si>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</si>
  <si>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</si>
  <si>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</si>
  <si>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</si>
  <si>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</si>
  <si>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</si>
  <si>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</si>
  <si>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</si>
  <si>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</si>
  <si>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</si>
  <si>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</si>
  <si>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</si>
  <si>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</si>
  <si>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</si>
  <si>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</si>
  <si>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</si>
  <si>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</si>
  <si>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</si>
  <si>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</si>
  <si>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</si>
  <si>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</si>
  <si>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</si>
  <si>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</si>
  <si>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0</t>
  </si>
  <si>
    <t>January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</si>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</sst>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7" totalsRowShown="0">
  <autoFilter ref="A1:P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6" totalsRowShown="0">
  <autoFilter ref="A1:H6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7" totalsRowShown="0">
  <autoFilter ref="A1:T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20000</v>
      </c>
    </row>
    <row r="12" spans="1:2">
      <c r="A12" s="3" t="s">
        <v>33</v>
      </c>
      <c r="B12" s="6">
        <v>20000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6</v>
      </c>
    </row>
    <row r="19" spans="1:2">
      <c r="A19" s="3" t="s">
        <v>32</v>
      </c>
      <c r="B19" s="6">
        <v>20000</v>
      </c>
    </row>
    <row r="20" spans="1:2">
      <c r="A20" s="3" t="s">
        <v>33</v>
      </c>
      <c r="B20" s="6">
        <v>20000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7</v>
      </c>
    </row>
    <row r="27" spans="1:2">
      <c r="A27" s="3" t="s">
        <v>43</v>
      </c>
      <c r="B27" s="5">
        <v>0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0</v>
      </c>
      <c r="E2" s="8">
        <v>45306</v>
      </c>
      <c r="F2" s="3" t="s">
        <v>66</v>
      </c>
      <c r="G2" s="3" t="s">
        <v>66</v>
      </c>
      <c r="H2" s="3" t="s">
        <v>67</v>
      </c>
      <c r="I2" s="6">
        <v>10000</v>
      </c>
      <c r="J2" s="6">
        <v>0</v>
      </c>
      <c r="K2" s="6">
        <v>10000</v>
      </c>
      <c r="L2" s="3" t="s">
        <v>68</v>
      </c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1</v>
      </c>
      <c r="E3" s="8">
        <v>45307</v>
      </c>
      <c r="F3" s="9" t="s">
        <v>69</v>
      </c>
      <c r="G3" s="9" t="s">
        <v>69</v>
      </c>
      <c r="H3" s="9" t="s">
        <v>70</v>
      </c>
      <c r="I3" s="6">
        <v>5000</v>
      </c>
      <c r="J3" s="6">
        <v>0</v>
      </c>
      <c r="K3" s="6">
        <v>5000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2</v>
      </c>
      <c r="E4" s="8">
        <v>45308</v>
      </c>
      <c r="F4" s="3" t="s">
        <v>71</v>
      </c>
      <c r="G4" s="3" t="s">
        <v>71</v>
      </c>
      <c r="H4" s="3" t="s">
        <v>72</v>
      </c>
      <c r="I4" s="6">
        <v>0</v>
      </c>
      <c r="J4" s="6">
        <v>15000</v>
      </c>
      <c r="K4" s="6">
        <v>-15000</v>
      </c>
      <c r="L4" s="3" t="s">
        <v>73</v>
      </c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3</v>
      </c>
      <c r="E5" s="8">
        <v>45309</v>
      </c>
      <c r="F5" s="9" t="s">
        <v>74</v>
      </c>
      <c r="G5" s="9" t="s">
        <v>74</v>
      </c>
      <c r="H5" s="9" t="s">
        <v>75</v>
      </c>
      <c r="I5" s="6">
        <v>2000</v>
      </c>
      <c r="J5" s="6">
        <v>0</v>
      </c>
      <c r="K5" s="6">
        <v>2000</v>
      </c>
      <c r="L5" s="9" t="s">
        <v>76</v>
      </c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4</v>
      </c>
      <c r="E6" s="8">
        <v>45310</v>
      </c>
      <c r="F6" s="3" t="s">
        <v>66</v>
      </c>
      <c r="G6" s="3" t="s">
        <v>66</v>
      </c>
      <c r="H6" s="3" t="s">
        <v>77</v>
      </c>
      <c r="I6" s="6">
        <v>3000</v>
      </c>
      <c r="J6" s="6">
        <v>0</v>
      </c>
      <c r="K6" s="6">
        <v>3000</v>
      </c>
      <c r="L6" s="3" t="s">
        <v>68</v>
      </c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5</v>
      </c>
      <c r="E7" s="8">
        <v>45311</v>
      </c>
      <c r="F7" s="9" t="s">
        <v>78</v>
      </c>
      <c r="G7" s="9" t="s">
        <v>78</v>
      </c>
      <c r="H7" s="9" t="s">
        <v>79</v>
      </c>
      <c r="I7" s="6">
        <v>0</v>
      </c>
      <c r="J7" s="6">
        <v>5000</v>
      </c>
      <c r="K7" s="6">
        <v>-5000</v>
      </c>
      <c r="L7" s="9"/>
      <c r="M7" s="9"/>
      <c r="N7" s="9"/>
      <c r="O7" s="9"/>
      <c r="P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s="3" t="s">
        <v>78</v>
      </c>
      <c r="B2" s="3" t="s">
        <v>28</v>
      </c>
      <c r="C2" s="3" t="s">
        <v>78</v>
      </c>
      <c r="D2" s="3"/>
      <c r="E2" s="3"/>
      <c r="F2" s="3"/>
      <c r="G2" s="3"/>
      <c r="H2" s="3"/>
    </row>
    <row r="3" spans="1:8">
      <c r="A3" s="9" t="s">
        <v>69</v>
      </c>
      <c r="B3" s="9" t="s">
        <v>28</v>
      </c>
      <c r="C3" s="9" t="s">
        <v>69</v>
      </c>
      <c r="D3" s="9"/>
      <c r="E3" s="9"/>
      <c r="F3" s="9"/>
      <c r="G3" s="9"/>
      <c r="H3" s="9"/>
    </row>
    <row r="4" spans="1:8">
      <c r="A4" s="3" t="s">
        <v>66</v>
      </c>
      <c r="B4" s="3" t="s">
        <v>28</v>
      </c>
      <c r="C4" s="3" t="s">
        <v>66</v>
      </c>
      <c r="D4" s="3" t="s">
        <v>68</v>
      </c>
      <c r="E4" s="3"/>
      <c r="F4" s="3"/>
      <c r="G4" s="3"/>
      <c r="H4" s="3"/>
    </row>
    <row r="5" spans="1:8">
      <c r="A5" s="9" t="s">
        <v>74</v>
      </c>
      <c r="B5" s="9" t="s">
        <v>28</v>
      </c>
      <c r="C5" s="9" t="s">
        <v>74</v>
      </c>
      <c r="D5" s="9" t="s">
        <v>76</v>
      </c>
      <c r="E5" s="9"/>
      <c r="F5" s="9"/>
      <c r="G5" s="9"/>
      <c r="H5" s="9"/>
    </row>
    <row r="6" spans="1:8">
      <c r="A6" s="3" t="s">
        <v>71</v>
      </c>
      <c r="B6" s="3" t="s">
        <v>28</v>
      </c>
      <c r="C6" s="3" t="s">
        <v>71</v>
      </c>
      <c r="D6" s="3" t="s">
        <v>73</v>
      </c>
      <c r="E6" s="3"/>
      <c r="F6" s="3"/>
      <c r="G6" s="3"/>
      <c r="H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88</v>
      </c>
    </row>
    <row r="3" spans="1:2">
      <c r="A3" s="2" t="s">
        <v>40</v>
      </c>
      <c r="B3" s="2" t="s">
        <v>89</v>
      </c>
    </row>
    <row r="4" spans="1:2">
      <c r="A4" s="3" t="s">
        <v>73</v>
      </c>
      <c r="B4" s="6">
        <f>SUMIFS(GL_Clean!J:J,GL_Clean!L:L,"Revenue")-SUMIFS(GL_Clean!I:I,GL_Clean!L:L,"Revenue")</f>
        <v>0</v>
      </c>
    </row>
    <row r="5" spans="1:2">
      <c r="A5" s="3" t="s">
        <v>90</v>
      </c>
      <c r="B5" s="6">
        <f>SUMIFS(GL_Clean!I:I,GL_Clean!L:L,"COGS")-SUMIFS(GL_Clean!J:J,GL_Clean!L:L,"COGS")</f>
        <v>0</v>
      </c>
    </row>
    <row r="6" spans="1:2">
      <c r="A6" s="3" t="s">
        <v>91</v>
      </c>
      <c r="B6" s="6">
        <f>B4-B5</f>
        <v>0</v>
      </c>
    </row>
    <row r="7" spans="1:2">
      <c r="A7" s="3" t="s">
        <v>92</v>
      </c>
      <c r="B7" s="6">
        <f>SUMIFS(GL_Clean!I:I,GL_Clean!L:L,"OpEx")-SUMIFS(GL_Clean!J:J,GL_Clean!L:L,"OpEx")</f>
        <v>0</v>
      </c>
    </row>
    <row r="8" spans="1:2">
      <c r="A8" s="3" t="s">
        <v>93</v>
      </c>
      <c r="B8" s="6">
        <f>B6-B7</f>
        <v>0</v>
      </c>
    </row>
    <row r="9" spans="1:2">
      <c r="A9" s="3" t="s">
        <v>94</v>
      </c>
      <c r="B9" s="6">
        <f>SUMIFS(GL_Clean!I:I,GL_Clean!L:L,"Interest")-SUMIFS(GL_Clean!J:J,GL_Clean!L:L,"Interest")</f>
        <v>0</v>
      </c>
    </row>
    <row r="10" spans="1:2">
      <c r="A10" s="3" t="s">
        <v>95</v>
      </c>
      <c r="B10" s="6">
        <f>SUMIFS(GL_Clean!I:I,GL_Clean!L:L,"Taxes")-SUMIFS(GL_Clean!J:J,GL_Clean!L:L,"Taxes")</f>
        <v>0</v>
      </c>
    </row>
    <row r="11" spans="1:2">
      <c r="A11" s="3" t="s">
        <v>96</v>
      </c>
      <c r="B11" s="6">
        <f>SUMIFS(GL_Clean!I:I,GL_Clean!L:L,"D&amp;A")-SUMIFS(GL_Clean!J:J,GL_Clean!L:L,"D&amp;A")</f>
        <v>0</v>
      </c>
    </row>
    <row r="12" spans="1:2">
      <c r="A12" s="3" t="s">
        <v>97</v>
      </c>
      <c r="B12" s="6">
        <f>B4-B5-B7-B9-B10</f>
        <v>0</v>
      </c>
    </row>
    <row r="13" spans="1:2">
      <c r="A13" s="3" t="s">
        <v>98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99</v>
      </c>
      <c r="R1" t="s">
        <v>100</v>
      </c>
      <c r="S1" t="s">
        <v>101</v>
      </c>
      <c r="T1" t="s">
        <v>102</v>
      </c>
    </row>
    <row r="2" spans="1:20">
      <c r="A2" s="3" t="s">
        <v>28</v>
      </c>
      <c r="B2" s="3" t="s">
        <v>64</v>
      </c>
      <c r="C2" s="3" t="s">
        <v>65</v>
      </c>
      <c r="D2" s="3" t="s">
        <v>103</v>
      </c>
      <c r="E2" s="8">
        <v>45306</v>
      </c>
      <c r="F2" s="3" t="s">
        <v>66</v>
      </c>
      <c r="G2" s="3" t="s">
        <v>66</v>
      </c>
      <c r="H2" s="3" t="s">
        <v>67</v>
      </c>
      <c r="I2" s="6">
        <v>10000</v>
      </c>
      <c r="J2" s="6">
        <v>0</v>
      </c>
      <c r="K2" s="6">
        <v>10000</v>
      </c>
      <c r="L2" s="3" t="s">
        <v>68</v>
      </c>
      <c r="M2" s="3"/>
      <c r="N2" s="3"/>
      <c r="O2" s="3"/>
      <c r="P2" s="3"/>
      <c r="Q2" s="5">
        <v>2024</v>
      </c>
      <c r="R2" s="5">
        <v>1</v>
      </c>
      <c r="S2" s="3" t="s">
        <v>104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105</v>
      </c>
      <c r="E3" s="8">
        <v>45307</v>
      </c>
      <c r="F3" s="9" t="s">
        <v>69</v>
      </c>
      <c r="G3" s="9" t="s">
        <v>69</v>
      </c>
      <c r="H3" s="9" t="s">
        <v>70</v>
      </c>
      <c r="I3" s="6">
        <v>5000</v>
      </c>
      <c r="J3" s="6">
        <v>0</v>
      </c>
      <c r="K3" s="6">
        <v>5000</v>
      </c>
      <c r="L3" s="9"/>
      <c r="M3" s="9"/>
      <c r="N3" s="9"/>
      <c r="O3" s="9"/>
      <c r="P3" s="9"/>
      <c r="Q3" s="5">
        <v>2024</v>
      </c>
      <c r="R3" s="5">
        <v>1</v>
      </c>
      <c r="S3" s="9" t="s">
        <v>104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106</v>
      </c>
      <c r="E4" s="8">
        <v>45308</v>
      </c>
      <c r="F4" s="3" t="s">
        <v>71</v>
      </c>
      <c r="G4" s="3" t="s">
        <v>71</v>
      </c>
      <c r="H4" s="3" t="s">
        <v>72</v>
      </c>
      <c r="I4" s="6">
        <v>0</v>
      </c>
      <c r="J4" s="6">
        <v>15000</v>
      </c>
      <c r="K4" s="6">
        <v>-15000</v>
      </c>
      <c r="L4" s="3" t="s">
        <v>73</v>
      </c>
      <c r="M4" s="3"/>
      <c r="N4" s="3"/>
      <c r="O4" s="3"/>
      <c r="P4" s="3"/>
      <c r="Q4" s="5">
        <v>2024</v>
      </c>
      <c r="R4" s="5">
        <v>1</v>
      </c>
      <c r="S4" s="3" t="s">
        <v>104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107</v>
      </c>
      <c r="E5" s="8">
        <v>45309</v>
      </c>
      <c r="F5" s="9" t="s">
        <v>74</v>
      </c>
      <c r="G5" s="9" t="s">
        <v>74</v>
      </c>
      <c r="H5" s="9" t="s">
        <v>75</v>
      </c>
      <c r="I5" s="6">
        <v>2000</v>
      </c>
      <c r="J5" s="6">
        <v>0</v>
      </c>
      <c r="K5" s="6">
        <v>2000</v>
      </c>
      <c r="L5" s="9" t="s">
        <v>76</v>
      </c>
      <c r="M5" s="9"/>
      <c r="N5" s="9"/>
      <c r="O5" s="9"/>
      <c r="P5" s="9"/>
      <c r="Q5" s="5">
        <v>2024</v>
      </c>
      <c r="R5" s="5">
        <v>1</v>
      </c>
      <c r="S5" s="9" t="s">
        <v>104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108</v>
      </c>
      <c r="E6" s="8">
        <v>45310</v>
      </c>
      <c r="F6" s="3" t="s">
        <v>66</v>
      </c>
      <c r="G6" s="3" t="s">
        <v>66</v>
      </c>
      <c r="H6" s="3" t="s">
        <v>77</v>
      </c>
      <c r="I6" s="6">
        <v>3000</v>
      </c>
      <c r="J6" s="6">
        <v>0</v>
      </c>
      <c r="K6" s="6">
        <v>3000</v>
      </c>
      <c r="L6" s="3" t="s">
        <v>68</v>
      </c>
      <c r="M6" s="3"/>
      <c r="N6" s="3"/>
      <c r="O6" s="3"/>
      <c r="P6" s="3"/>
      <c r="Q6" s="5">
        <v>2024</v>
      </c>
      <c r="R6" s="5">
        <v>1</v>
      </c>
      <c r="S6" s="3" t="s">
        <v>104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109</v>
      </c>
      <c r="E7" s="8">
        <v>45311</v>
      </c>
      <c r="F7" s="9" t="s">
        <v>78</v>
      </c>
      <c r="G7" s="9" t="s">
        <v>78</v>
      </c>
      <c r="H7" s="9" t="s">
        <v>79</v>
      </c>
      <c r="I7" s="6">
        <v>0</v>
      </c>
      <c r="J7" s="6">
        <v>5000</v>
      </c>
      <c r="K7" s="6">
        <v>-5000</v>
      </c>
      <c r="L7" s="9"/>
      <c r="M7" s="9"/>
      <c r="N7" s="9"/>
      <c r="O7" s="9"/>
      <c r="P7" s="9"/>
      <c r="Q7" s="5">
        <v>2024</v>
      </c>
      <c r="R7" s="5">
        <v>1</v>
      </c>
      <c r="S7" s="9" t="s">
        <v>104</v>
      </c>
      <c r="T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2026-01-14T19:21:26Z</dcterms:created>
  <dcterms:modified xsi:type="dcterms:W3CDTF">2026-01-14T19:21:26Z</dcterms:modified>
</cp:coreProperties>
</file>